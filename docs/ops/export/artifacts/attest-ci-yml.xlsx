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ver" state="visible" r:id="rId4"/>
    <sheet sheetId="2" name="Findings" state="visible" r:id="rId5"/>
    <sheet sheetId="3" name="Summary" state="visible" r:id="rId6"/>
  </sheets>
  <calcPr calcId="171027"/>
</workbook>
</file>

<file path=xl/sharedStrings.xml><?xml version="1.0" encoding="utf-8"?>
<sst xmlns="http://schemas.openxmlformats.org/spreadsheetml/2006/main" count="52" uniqueCount="48">
  <si>
    <t>ATTEST</t>
  </si>
  <si>
    <t>ci.yml</t>
  </si>
  <si>
    <t>Verdict</t>
  </si>
  <si>
    <t>C</t>
  </si>
  <si>
    <t>Score</t>
  </si>
  <si>
    <t>Audited</t>
  </si>
  <si>
    <t>2026-09-17</t>
  </si>
  <si>
    <t>Summary</t>
  </si>
  <si>
    <t>Fixture audit for export smoke.</t>
  </si>
  <si>
    <t>Jobs</t>
  </si>
  <si>
    <t>Steps</t>
  </si>
  <si>
    <t>Triggers</t>
  </si>
  <si>
    <t>push, pull_request</t>
  </si>
  <si>
    <t>GITHUB_TOKEN</t>
  </si>
  <si>
    <t>yes</t>
  </si>
  <si>
    <t>GitHub App token</t>
  </si>
  <si>
    <t>no</t>
  </si>
  <si>
    <t>ID</t>
  </si>
  <si>
    <t>Severity</t>
  </si>
  <si>
    <t>Title</t>
  </si>
  <si>
    <t>Location</t>
  </si>
  <si>
    <t>Rule</t>
  </si>
  <si>
    <t>Detail</t>
  </si>
  <si>
    <t>Remediation</t>
  </si>
  <si>
    <t>Weight</t>
  </si>
  <si>
    <t>F-001</t>
  </si>
  <si>
    <t>high</t>
  </si>
  <si>
    <t>Overly broad permissions</t>
  </si>
  <si>
    <t>jobs.build.permissions</t>
  </si>
  <si>
    <t>permissions-least-privilege</t>
  </si>
  <si>
    <t>workflow uses permissions: write-all</t>
  </si>
  <si>
    <t>Scope to contents: read</t>
  </si>
  <si>
    <t>F-002</t>
  </si>
  <si>
    <t>pass</t>
  </si>
  <si>
    <t>Pinned action OK</t>
  </si>
  <si>
    <t>workflow</t>
  </si>
  <si>
    <t>actions-pin</t>
  </si>
  <si>
    <t>actions/checkout pinned by SHA</t>
  </si>
  <si>
    <t>Keep pin on upgrade</t>
  </si>
  <si>
    <t>Count</t>
  </si>
  <si>
    <t>Share of findings</t>
  </si>
  <si>
    <t>critical</t>
  </si>
  <si>
    <t>medium</t>
  </si>
  <si>
    <t>low</t>
  </si>
  <si>
    <t>info</t>
  </si>
  <si>
    <t>Findings</t>
  </si>
  <si>
    <t>Penalty points</t>
  </si>
  <si>
    <t>Source: Attest static analysis of workflow YAML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</si>
</sst>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13" x14ac:knownFonts="1">
    <font>
      <color theme="1"/>
      <family val="2"/>
      <scheme val="minor"/>
      <sz val="11"/>
      <name val="Calibri"/>
    </font>
    <font>
      <b/>
      <color rgb="FF9A3412"/>
      <sz val="14"/>
      <name val="Arial"/>
    </font>
    <font>
      <b/>
      <color rgb="FF161410"/>
      <sz val="22"/>
      <name val="Arial"/>
    </font>
    <font>
      <color rgb="FF6B6458"/>
      <sz val="11"/>
      <name val="Arial"/>
    </font>
    <font>
      <b/>
      <color rgb="FF9A3412"/>
      <sz val="28"/>
      <name val="Arial"/>
    </font>
    <font>
      <color rgb="FF161410"/>
      <sz val="18"/>
      <name val="Arial"/>
    </font>
    <font>
      <b/>
      <color rgb="FF161410"/>
      <name val="Arial"/>
    </font>
    <font>
      <color rgb="FF161410"/>
      <sz val="10"/>
      <name val="Arial"/>
    </font>
    <font>
      <b/>
      <color rgb="FF9A3412"/>
      <name val="Arial"/>
    </font>
    <font>
      <b/>
      <color rgb="FF3F6212"/>
      <name val="Arial"/>
    </font>
    <font>
      <b/>
      <name val="Arial"/>
    </font>
    <font>
      <b/>
      <color rgb="FF9A3412"/>
      <sz val="16"/>
      <name val="Arial"/>
    </font>
    <font>
      <i/>
      <color rgb="FF6B6458"/>
      <sz val="9"/>
      <name val="Arial"/>
    </font>
  </fonts>
  <fills count="3">
    <fill>
      <patternFill patternType="none"/>
    </fill>
    <fill>
      <patternFill patternType="gray125"/>
    </fill>
    <fill>
      <patternFill patternType="solid">
        <fgColor rgb="FFF3EEE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0" fillId="0" borderId="0" xfId="0" applyAlignment="1">
      <alignment vertical="top" wrapText="1"/>
    </xf>
    <xf numFmtId="0" fontId="6" fillId="2" borderId="0" xfId="0" applyFont="1" applyFill="1"/>
    <xf numFmtId="0" fontId="7" fillId="0" borderId="0" xfId="0" applyFont="1" applyAlignment="1">
      <alignment vertical="top" wrapText="1"/>
    </xf>
    <xf numFmtId="0" fontId="8" fillId="0" borderId="0" xfId="0" applyFont="1" applyAlignment="1">
      <alignment vertical="top" wrapText="1"/>
    </xf>
    <xf numFmtId="0" fontId="9" fillId="0" borderId="0" xfId="0" applyFont="1" applyAlignment="1">
      <alignment vertical="top" wrapText="1"/>
    </xf>
    <xf numFmtId="0" fontId="10" fillId="2" borderId="0" xfId="0" applyFont="1" applyFill="1"/>
    <xf numFmtId="164" fontId="0" fillId="0" borderId="0" xfId="0" applyNumberFormat="1"/>
    <xf numFmtId="0" fontId="11" fillId="0" borderId="0" xfId="0" applyFont="1"/>
    <xf numFmtId="0" fontId="1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workbookViewId="0" showGridLines="0"/>
  </sheetViews>
  <sheetFormatPr defaultRowHeight="15" outlineLevelRow="0" outlineLevelCol="0" x14ac:dyDescent="55"/>
  <cols>
    <col min="1" max="1" width="28" customWidth="1"/>
    <col min="2" max="2" width="56" customWidth="1"/>
    <col min="3" max="3" width="18" customWidth="1"/>
  </cols>
  <sheetData>
    <row r="1" spans="1:3" x14ac:dyDescent="0.25">
      <c r="A1" s="1" t="s">
        <v>0</v>
      </c>
      <c r="B1" s="1"/>
      <c r="C1" s="1"/>
    </row>
    <row r="2" spans="1:3" x14ac:dyDescent="0.25">
      <c r="A2" s="2" t="s">
        <v>1</v>
      </c>
      <c r="B2" s="2"/>
      <c r="C2" s="2"/>
    </row>
    <row r="4" spans="1:2" x14ac:dyDescent="0.25">
      <c r="A4" s="3" t="s">
        <v>2</v>
      </c>
      <c r="B4" s="4" t="s">
        <v>3</v>
      </c>
    </row>
    <row r="5" spans="1:2" x14ac:dyDescent="0.25">
      <c r="A5" s="3" t="s">
        <v>4</v>
      </c>
      <c r="B5" s="5">
        <v>62</v>
      </c>
    </row>
    <row r="6" spans="1:2" x14ac:dyDescent="0.25">
      <c r="A6" s="3" t="s">
        <v>5</v>
      </c>
      <c r="B6" t="s">
        <v>6</v>
      </c>
    </row>
    <row r="8" spans="1:3" x14ac:dyDescent="0.25">
      <c r="A8" s="3" t="s">
        <v>7</v>
      </c>
      <c r="B8" s="6" t="s">
        <v>8</v>
      </c>
      <c r="C8" s="6"/>
    </row>
    <row r="9" spans="2:3" x14ac:dyDescent="0.25">
      <c r="B9" s="6"/>
      <c r="C9" s="6"/>
    </row>
    <row r="10" spans="2:3" x14ac:dyDescent="0.25">
      <c r="B10" s="6"/>
      <c r="C10" s="6"/>
    </row>
    <row r="12" spans="1:2" x14ac:dyDescent="0.25">
      <c r="A12" s="3" t="s">
        <v>9</v>
      </c>
      <c r="B12">
        <v>2</v>
      </c>
    </row>
    <row r="13" spans="1:2" x14ac:dyDescent="0.25">
      <c r="A13" s="3" t="s">
        <v>10</v>
      </c>
      <c r="B13">
        <v>8</v>
      </c>
    </row>
    <row r="14" spans="1:2" x14ac:dyDescent="0.25">
      <c r="A14" s="3" t="s">
        <v>11</v>
      </c>
      <c r="B14" t="s">
        <v>12</v>
      </c>
    </row>
    <row r="15" spans="1:2" x14ac:dyDescent="0.25">
      <c r="A15" s="3" t="s">
        <v>13</v>
      </c>
      <c r="B15" t="s">
        <v>14</v>
      </c>
    </row>
    <row r="16" spans="1:2" x14ac:dyDescent="0.25">
      <c r="A16" s="3" t="s">
        <v>15</v>
      </c>
      <c r="B16" t="s">
        <v>16</v>
      </c>
    </row>
  </sheetData>
  <mergeCells count="3">
    <mergeCell ref="A1:C1"/>
    <mergeCell ref="A2:C2"/>
    <mergeCell ref="B8:C1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FormatPr defaultRowHeight="15" outlineLevelRow="0" outlineLevelCol="0" x14ac:dyDescent="55"/>
  <cols>
    <col min="1" max="1" width="10" customWidth="1"/>
    <col min="2" max="2" width="12" customWidth="1"/>
    <col min="3" max="3" width="42" customWidth="1"/>
    <col min="4" max="4" width="28" customWidth="1"/>
    <col min="5" max="5" width="24" customWidth="1"/>
    <col min="6" max="7" width="56" customWidth="1"/>
    <col min="8" max="8" width="10" customWidth="1"/>
  </cols>
  <sheetData>
    <row r="1" ht="22" customHeight="1" spans="1:8" s="7" customFormat="1" x14ac:dyDescent="0.25">
      <c r="A1" s="7" t="s">
        <v>17</v>
      </c>
      <c r="B1" s="7" t="s">
        <v>18</v>
      </c>
      <c r="C1" s="7" t="s">
        <v>19</v>
      </c>
      <c r="D1" s="7" t="s">
        <v>20</v>
      </c>
      <c r="E1" s="7" t="s">
        <v>21</v>
      </c>
      <c r="F1" s="7" t="s">
        <v>22</v>
      </c>
      <c r="G1" s="7" t="s">
        <v>23</v>
      </c>
      <c r="H1" s="7" t="s">
        <v>24</v>
      </c>
    </row>
    <row r="2" ht="48" customHeight="1" spans="1:8" s="8" customFormat="1" x14ac:dyDescent="0.25">
      <c r="A2" s="8" t="s">
        <v>25</v>
      </c>
      <c r="B2" s="9" t="s">
        <v>26</v>
      </c>
      <c r="C2" s="8" t="s">
        <v>27</v>
      </c>
      <c r="D2" s="8" t="s">
        <v>28</v>
      </c>
      <c r="E2" s="8" t="s">
        <v>29</v>
      </c>
      <c r="F2" s="8" t="s">
        <v>30</v>
      </c>
      <c r="G2" s="8" t="s">
        <v>31</v>
      </c>
      <c r="H2" s="8">
        <v>16</v>
      </c>
    </row>
    <row r="3" ht="48" customHeight="1" spans="1:8" s="8" customFormat="1" x14ac:dyDescent="0.25">
      <c r="A3" s="8" t="s">
        <v>32</v>
      </c>
      <c r="B3" s="10" t="s">
        <v>33</v>
      </c>
      <c r="C3" s="8" t="s">
        <v>34</v>
      </c>
      <c r="D3" s="8" t="s">
        <v>35</v>
      </c>
      <c r="E3" s="8" t="s">
        <v>36</v>
      </c>
      <c r="F3" s="8" t="s">
        <v>37</v>
      </c>
      <c r="G3" s="8" t="s">
        <v>38</v>
      </c>
      <c r="H3" s="8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FormatPr defaultRowHeight="15" outlineLevelRow="0" outlineLevelCol="0" x14ac:dyDescent="55"/>
  <cols>
    <col min="1" max="1" width="28" customWidth="1"/>
    <col min="2" max="2" width="16" customWidth="1"/>
    <col min="3" max="3" width="18" customWidth="1"/>
  </cols>
  <sheetData>
    <row r="1" spans="1:3" s="11" customFormat="1" x14ac:dyDescent="0.25">
      <c r="A1" s="11" t="s">
        <v>18</v>
      </c>
      <c r="B1" s="11" t="s">
        <v>39</v>
      </c>
      <c r="C1" s="11" t="s">
        <v>40</v>
      </c>
    </row>
    <row r="2" spans="1:3" x14ac:dyDescent="0.25">
      <c r="A2" t="s">
        <v>41</v>
      </c>
      <c r="B2">
        <f>COUNTIF(Findings!B:B,A2)</f>
      </c>
      <c r="C2" s="12">
        <f>IF(SUM($B$2:$B$7)=0,0,B2/SUM($B$2:$B$7))</f>
      </c>
    </row>
    <row r="3" spans="1:3" x14ac:dyDescent="0.25">
      <c r="A3" t="s">
        <v>26</v>
      </c>
      <c r="B3">
        <f>COUNTIF(Findings!B:B,A3)</f>
      </c>
      <c r="C3" s="12">
        <f>IF(SUM($B$2:$B$7)=0,0,B3/SUM($B$2:$B$7))</f>
      </c>
    </row>
    <row r="4" spans="1:3" x14ac:dyDescent="0.25">
      <c r="A4" t="s">
        <v>42</v>
      </c>
      <c r="B4">
        <f>COUNTIF(Findings!B:B,A4)</f>
      </c>
      <c r="C4" s="12">
        <f>IF(SUM($B$2:$B$7)=0,0,B4/SUM($B$2:$B$7))</f>
      </c>
    </row>
    <row r="5" spans="1:3" x14ac:dyDescent="0.25">
      <c r="A5" t="s">
        <v>43</v>
      </c>
      <c r="B5">
        <f>COUNTIF(Findings!B:B,A5)</f>
      </c>
      <c r="C5" s="12">
        <f>IF(SUM($B$2:$B$7)=0,0,B5/SUM($B$2:$B$7))</f>
      </c>
    </row>
    <row r="6" spans="1:3" x14ac:dyDescent="0.25">
      <c r="A6" t="s">
        <v>44</v>
      </c>
      <c r="B6">
        <f>COUNTIF(Findings!B:B,A6)</f>
      </c>
      <c r="C6" s="12">
        <f>IF(SUM($B$2:$B$7)=0,0,B6/SUM($B$2:$B$7))</f>
      </c>
    </row>
    <row r="7" spans="1:3" x14ac:dyDescent="0.25">
      <c r="A7" t="s">
        <v>33</v>
      </c>
      <c r="B7">
        <f>COUNTIF(Findings!B:B,A7)</f>
      </c>
      <c r="C7" s="12">
        <f>IF(SUM($B$2:$B$7)=0,0,B7/SUM($B$2:$B$7))</f>
      </c>
    </row>
    <row r="9" spans="1:2" x14ac:dyDescent="0.25">
      <c r="A9" t="s">
        <v>45</v>
      </c>
      <c r="B9">
        <f>SUM(B2:B7)</f>
      </c>
    </row>
    <row r="10" spans="1:2" x14ac:dyDescent="0.25">
      <c r="A10" t="s">
        <v>46</v>
      </c>
      <c r="B10">
        <f>SUM(Findings!H2:H3)</f>
      </c>
    </row>
    <row r="11" spans="1:2" x14ac:dyDescent="0.25">
      <c r="A11" t="s">
        <v>4</v>
      </c>
      <c r="B11" s="13">
        <f>MAX(0,100-B10)</f>
      </c>
    </row>
    <row r="13" spans="1:1" x14ac:dyDescent="0.25">
      <c r="A13" s="14" t="s">
        <v>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Cover</vt:lpstr>
      <vt:lpstr>Findings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Attest</dc:creator>
  <dc:title/>
  <dc:subject/>
  <dc:description/>
  <cp:keywords/>
  <cp:category/>
  <cp:lastModifiedBy>Unknown</cp:lastModifiedBy>
  <dcterms:created xsi:type="dcterms:W3CDTF">2026-09-17T00:00:00Z</dcterms:created>
  <dcterms:modified xsi:type="dcterms:W3CDTF">2026-09-19T04:42:40Z</dcterms:modified>
</cp:coreProperties>
</file>